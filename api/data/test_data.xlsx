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Quarterly Sales" sheetId="2" state="visible" r:id="rId2"/>
    <sheet xmlns:r="http://schemas.openxmlformats.org/officeDocument/2006/relationships" name="Mission Log" sheetId="3" state="visible" r:id="rId3"/>
    <sheet xmlns:r="http://schemas.openxmlformats.org/officeDocument/2006/relationships" name="Summary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E05252"/>
      <sz val="10"/>
    </font>
    <font>
      <name val="Arial"/>
      <i val="1"/>
      <color rgb="00E0A800"/>
      <sz val="10"/>
    </font>
    <font>
      <name val="Arial"/>
      <b val="1"/>
      <sz val="10"/>
    </font>
    <font>
      <name val="Arial"/>
      <b val="1"/>
      <color rgb="0027AE60"/>
      <sz val="10"/>
    </font>
    <font>
      <name val="Arial"/>
      <b val="1"/>
      <color rgb="002980B9"/>
      <sz val="10"/>
    </font>
    <font>
      <name val="Arial"/>
      <b val="1"/>
      <color rgb="00E74C3C"/>
      <sz val="10"/>
    </font>
    <font>
      <name val="Arial"/>
      <b val="1"/>
      <color rgb="007F8C8D"/>
      <sz val="10"/>
    </font>
    <font>
      <name val="Arial"/>
      <b val="1"/>
      <color rgb="00F39C12"/>
      <sz val="10"/>
    </font>
    <font>
      <name val="Arial"/>
      <b val="1"/>
      <color rgb="008E44AD"/>
      <sz val="10"/>
    </font>
    <font>
      <name val="Arial"/>
      <b val="1"/>
      <color rgb="00FFFFFF"/>
      <sz val="16"/>
    </font>
    <font>
      <name val="Arial"/>
      <b val="1"/>
      <color rgb="001A1A2E"/>
      <sz val="12"/>
    </font>
    <font>
      <name val="Arial"/>
      <sz val="11"/>
    </font>
    <font>
      <name val="Arial"/>
      <b val="1"/>
      <color rgb="000F3460"/>
      <sz val="13"/>
    </font>
    <font>
      <name val="Arial"/>
      <i val="1"/>
      <color rgb="00888888"/>
      <sz val="10"/>
    </font>
    <font>
      <name val="Arial"/>
      <b val="1"/>
      <sz val="11"/>
    </font>
    <font>
      <name val="Arial"/>
      <color rgb="00555555"/>
      <sz val="10"/>
    </font>
  </fonts>
  <fills count="8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EEF2FF"/>
        <bgColor rgb="00EEF2FF"/>
      </patternFill>
    </fill>
    <fill>
      <patternFill patternType="solid">
        <fgColor rgb="000F3460"/>
        <bgColor rgb="000F34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pivotButton="0" quotePrefix="0" xfId="0"/>
    <xf numFmtId="0" fontId="0" fillId="6" borderId="1" pivotButton="0" quotePrefix="0" xfId="0"/>
    <xf numFmtId="164" fontId="6" fillId="6" borderId="1" pivotButton="0" quotePrefix="0" xfId="0"/>
    <xf numFmtId="0" fontId="2" fillId="7" borderId="1" applyAlignment="1" pivotButton="0" quotePrefix="0" xfId="0">
      <alignment horizontal="center" vertical="center"/>
    </xf>
    <xf numFmtId="3" fontId="3" fillId="4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  <xf numFmtId="3" fontId="6" fillId="6" borderId="1" pivotButton="0" quotePrefix="0" xfId="0"/>
    <xf numFmtId="0" fontId="3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center"/>
    </xf>
    <xf numFmtId="0" fontId="3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4" fillId="0" borderId="0" pivotButton="0" quotePrefix="0" xfId="0"/>
    <xf numFmtId="0" fontId="15" fillId="6" borderId="1" applyAlignment="1" pivotButton="0" quotePrefix="0" xfId="0">
      <alignment vertical="center"/>
    </xf>
    <xf numFmtId="0" fontId="16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/>
    </xf>
    <xf numFmtId="164" fontId="16" fillId="4" borderId="1" applyAlignment="1" pivotButton="0" quotePrefix="0" xfId="0">
      <alignment horizontal="center" vertical="center"/>
    </xf>
    <xf numFmtId="3" fontId="16" fillId="4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7" customWidth="1" min="3" max="3"/>
    <col width="24" customWidth="1" min="4" max="4"/>
    <col width="18" customWidth="1" min="5" max="5"/>
    <col width="13" customWidth="1" min="6" max="6"/>
    <col width="13" customWidth="1" min="7" max="7"/>
    <col width="12" customWidth="1" min="8" max="8"/>
  </cols>
  <sheetData>
    <row r="1" ht="30" customHeight="1">
      <c r="A1" s="1" t="inlineStr">
        <is>
          <t>Kepler Aerospace — Employee Directory (2024)</t>
        </is>
      </c>
    </row>
    <row r="2" ht="22" customHeight="1">
      <c r="A2" s="2" t="inlineStr">
        <is>
          <t>Emp ID</t>
        </is>
      </c>
      <c r="B2" s="2" t="inlineStr">
        <is>
          <t>Full Name</t>
        </is>
      </c>
      <c r="C2" s="2" t="inlineStr">
        <is>
          <t>Department</t>
        </is>
      </c>
      <c r="D2" s="2" t="inlineStr">
        <is>
          <t>Job Title</t>
        </is>
      </c>
      <c r="E2" s="2" t="inlineStr">
        <is>
          <t>Location</t>
        </is>
      </c>
      <c r="F2" s="2" t="inlineStr">
        <is>
          <t>Start Date</t>
        </is>
      </c>
      <c r="G2" s="2" t="inlineStr">
        <is>
          <t>Salary ($)</t>
        </is>
      </c>
      <c r="H2" s="2" t="inlineStr">
        <is>
          <t>Status</t>
        </is>
      </c>
    </row>
    <row r="3">
      <c r="A3" s="3" t="inlineStr">
        <is>
          <t>EMP-001</t>
        </is>
      </c>
      <c r="B3" s="3" t="inlineStr">
        <is>
          <t>Yusuf Tanaka</t>
        </is>
      </c>
      <c r="C3" s="3" t="inlineStr">
        <is>
          <t>Communications</t>
        </is>
      </c>
      <c r="D3" s="3" t="inlineStr">
        <is>
          <t>Senior Engineer</t>
        </is>
      </c>
      <c r="E3" s="3" t="inlineStr">
        <is>
          <t>Houston, TX</t>
        </is>
      </c>
      <c r="F3" s="3" t="inlineStr">
        <is>
          <t>2018-03-12</t>
        </is>
      </c>
      <c r="G3" s="4" t="n">
        <v>112000</v>
      </c>
      <c r="H3" s="3" t="inlineStr">
        <is>
          <t>Active</t>
        </is>
      </c>
    </row>
    <row r="4">
      <c r="A4" s="5" t="inlineStr">
        <is>
          <t>EMP-002</t>
        </is>
      </c>
      <c r="B4" s="5" t="inlineStr">
        <is>
          <t>Layla Reyes</t>
        </is>
      </c>
      <c r="C4" s="5" t="inlineStr">
        <is>
          <t>Operations</t>
        </is>
      </c>
      <c r="D4" s="5" t="inlineStr">
        <is>
          <t>Commander</t>
        </is>
      </c>
      <c r="E4" s="5" t="inlineStr">
        <is>
          <t>Cape Canaveral</t>
        </is>
      </c>
      <c r="F4" s="5" t="inlineStr">
        <is>
          <t>2015-07-01</t>
        </is>
      </c>
      <c r="G4" s="6" t="n">
        <v>158000</v>
      </c>
      <c r="H4" s="7" t="inlineStr">
        <is>
          <t>On Mission</t>
        </is>
      </c>
    </row>
    <row r="5">
      <c r="A5" s="3" t="inlineStr">
        <is>
          <t>EMP-003</t>
        </is>
      </c>
      <c r="B5" s="3" t="inlineStr">
        <is>
          <t>Fen Zhao</t>
        </is>
      </c>
      <c r="C5" s="3" t="inlineStr">
        <is>
          <t>Research</t>
        </is>
      </c>
      <c r="D5" s="3" t="inlineStr">
        <is>
          <t>Xenolinguist</t>
        </is>
      </c>
      <c r="E5" s="3" t="inlineStr">
        <is>
          <t>Geneva, CH</t>
        </is>
      </c>
      <c r="F5" s="3" t="inlineStr">
        <is>
          <t>2020-11-22</t>
        </is>
      </c>
      <c r="G5" s="4" t="n">
        <v>134500</v>
      </c>
      <c r="H5" s="3" t="inlineStr">
        <is>
          <t>Contract</t>
        </is>
      </c>
    </row>
    <row r="6">
      <c r="A6" s="5" t="inlineStr">
        <is>
          <t>EMP-004</t>
        </is>
      </c>
      <c r="B6" s="5" t="inlineStr">
        <is>
          <t>Marcus Webb</t>
        </is>
      </c>
      <c r="C6" s="5" t="inlineStr">
        <is>
          <t>Engineering</t>
        </is>
      </c>
      <c r="D6" s="5" t="inlineStr">
        <is>
          <t>Systems Architect</t>
        </is>
      </c>
      <c r="E6" s="5" t="inlineStr">
        <is>
          <t>Houston, TX</t>
        </is>
      </c>
      <c r="F6" s="5" t="inlineStr">
        <is>
          <t>2017-05-18</t>
        </is>
      </c>
      <c r="G6" s="6" t="n">
        <v>128000</v>
      </c>
      <c r="H6" s="5" t="inlineStr">
        <is>
          <t>Active</t>
        </is>
      </c>
    </row>
    <row r="7">
      <c r="A7" s="3" t="inlineStr">
        <is>
          <t>EMP-005</t>
        </is>
      </c>
      <c r="B7" s="3" t="inlineStr">
        <is>
          <t>Priya Nair</t>
        </is>
      </c>
      <c r="C7" s="3" t="inlineStr">
        <is>
          <t>Data Science</t>
        </is>
      </c>
      <c r="D7" s="3" t="inlineStr">
        <is>
          <t>ML Engineer</t>
        </is>
      </c>
      <c r="E7" s="3" t="inlineStr">
        <is>
          <t>Bangalore, IN</t>
        </is>
      </c>
      <c r="F7" s="3" t="inlineStr">
        <is>
          <t>2021-01-10</t>
        </is>
      </c>
      <c r="G7" s="4" t="n">
        <v>98000</v>
      </c>
      <c r="H7" s="3" t="inlineStr">
        <is>
          <t>Active</t>
        </is>
      </c>
    </row>
    <row r="8">
      <c r="A8" s="5" t="inlineStr">
        <is>
          <t>EMP-006</t>
        </is>
      </c>
      <c r="B8" s="5" t="inlineStr">
        <is>
          <t>Carlos Ibáñez</t>
        </is>
      </c>
      <c r="C8" s="5" t="inlineStr">
        <is>
          <t>Security</t>
        </is>
      </c>
      <c r="D8" s="5" t="inlineStr">
        <is>
          <t>Chief Security Officer</t>
        </is>
      </c>
      <c r="E8" s="5" t="inlineStr">
        <is>
          <t>Madrid, ES</t>
        </is>
      </c>
      <c r="F8" s="5" t="inlineStr">
        <is>
          <t>2016-09-03</t>
        </is>
      </c>
      <c r="G8" s="6" t="n">
        <v>145000</v>
      </c>
      <c r="H8" s="5" t="inlineStr">
        <is>
          <t>Active</t>
        </is>
      </c>
    </row>
    <row r="9">
      <c r="A9" s="3" t="inlineStr">
        <is>
          <t>EMP-007</t>
        </is>
      </c>
      <c r="B9" s="3" t="inlineStr">
        <is>
          <t>Aisha Oduola</t>
        </is>
      </c>
      <c r="C9" s="3" t="inlineStr">
        <is>
          <t>Finance</t>
        </is>
      </c>
      <c r="D9" s="3" t="inlineStr">
        <is>
          <t>CFO</t>
        </is>
      </c>
      <c r="E9" s="3" t="inlineStr">
        <is>
          <t>Lagos, NG</t>
        </is>
      </c>
      <c r="F9" s="3" t="inlineStr">
        <is>
          <t>2014-04-29</t>
        </is>
      </c>
      <c r="G9" s="4" t="n">
        <v>175000</v>
      </c>
      <c r="H9" s="3" t="inlineStr">
        <is>
          <t>Active</t>
        </is>
      </c>
    </row>
    <row r="10">
      <c r="A10" s="5" t="inlineStr">
        <is>
          <t>EMP-008</t>
        </is>
      </c>
      <c r="B10" s="5" t="inlineStr">
        <is>
          <t>Tom Eriksson</t>
        </is>
      </c>
      <c r="C10" s="5" t="inlineStr">
        <is>
          <t>Communications</t>
        </is>
      </c>
      <c r="D10" s="5" t="inlineStr">
        <is>
          <t>Junior Engineer</t>
        </is>
      </c>
      <c r="E10" s="5" t="inlineStr">
        <is>
          <t>Stockholm, SE</t>
        </is>
      </c>
      <c r="F10" s="5" t="inlineStr">
        <is>
          <t>2023-06-15</t>
        </is>
      </c>
      <c r="G10" s="6" t="n">
        <v>72000</v>
      </c>
      <c r="H10" s="8" t="inlineStr">
        <is>
          <t>Probation</t>
        </is>
      </c>
    </row>
    <row r="11">
      <c r="A11" s="3" t="inlineStr">
        <is>
          <t>EMP-009</t>
        </is>
      </c>
      <c r="B11" s="3" t="inlineStr">
        <is>
          <t>Dana Kowalski</t>
        </is>
      </c>
      <c r="C11" s="3" t="inlineStr">
        <is>
          <t>Research</t>
        </is>
      </c>
      <c r="D11" s="3" t="inlineStr">
        <is>
          <t>Astrophysicist</t>
        </is>
      </c>
      <c r="E11" s="3" t="inlineStr">
        <is>
          <t>Warsaw, PL</t>
        </is>
      </c>
      <c r="F11" s="3" t="inlineStr">
        <is>
          <t>2019-08-07</t>
        </is>
      </c>
      <c r="G11" s="4" t="n">
        <v>119000</v>
      </c>
      <c r="H11" s="3" t="inlineStr">
        <is>
          <t>Active</t>
        </is>
      </c>
    </row>
    <row r="12">
      <c r="A12" s="5" t="inlineStr">
        <is>
          <t>EMP-010</t>
        </is>
      </c>
      <c r="B12" s="5" t="inlineStr">
        <is>
          <t>Hiroshi Yamamoto</t>
        </is>
      </c>
      <c r="C12" s="5" t="inlineStr">
        <is>
          <t>Engineering</t>
        </is>
      </c>
      <c r="D12" s="5" t="inlineStr">
        <is>
          <t>Propulsion Lead</t>
        </is>
      </c>
      <c r="E12" s="5" t="inlineStr">
        <is>
          <t>Tokyo, JP</t>
        </is>
      </c>
      <c r="F12" s="5" t="inlineStr">
        <is>
          <t>2016-12-01</t>
        </is>
      </c>
      <c r="G12" s="6" t="n">
        <v>141000</v>
      </c>
      <c r="H12" s="5" t="inlineStr">
        <is>
          <t>Active</t>
        </is>
      </c>
    </row>
    <row r="13">
      <c r="A13" s="9" t="inlineStr">
        <is>
          <t>TOTAL EMPLOYEES</t>
        </is>
      </c>
      <c r="B13" s="10" t="n"/>
      <c r="C13" s="10" t="n"/>
      <c r="D13" s="10" t="n"/>
      <c r="E13" s="10" t="n"/>
      <c r="F13" s="10" t="n"/>
      <c r="G13" s="11">
        <f>SUM(G3:G12)</f>
        <v/>
      </c>
      <c r="H13" s="9">
        <f>COUNTA(B3:B12)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Kepler Aerospace — Revenue by Product Line (2022–2024)</t>
        </is>
      </c>
    </row>
    <row r="2" ht="22" customHeight="1">
      <c r="A2" s="12" t="inlineStr">
        <is>
          <t>Product Line</t>
        </is>
      </c>
      <c r="B2" s="12" t="inlineStr">
        <is>
          <t>Q1 2023 ($k)</t>
        </is>
      </c>
      <c r="C2" s="12" t="inlineStr">
        <is>
          <t>Q2 2023 ($k)</t>
        </is>
      </c>
      <c r="D2" s="12" t="inlineStr">
        <is>
          <t>Q3 2023 ($k)</t>
        </is>
      </c>
      <c r="E2" s="12" t="inlineStr">
        <is>
          <t>Q4 2023 ($k)</t>
        </is>
      </c>
      <c r="F2" s="12" t="inlineStr">
        <is>
          <t>FY 2023 Total ($k)</t>
        </is>
      </c>
    </row>
    <row r="3">
      <c r="A3" s="3" t="inlineStr">
        <is>
          <t>Deep Space Comms</t>
        </is>
      </c>
      <c r="B3" s="13" t="n">
        <v>4200</v>
      </c>
      <c r="C3" s="13" t="n">
        <v>4750</v>
      </c>
      <c r="D3" s="13" t="n">
        <v>5100</v>
      </c>
      <c r="E3" s="13" t="n">
        <v>5900</v>
      </c>
      <c r="F3" s="13">
        <f>SUM(B3:E3)</f>
        <v/>
      </c>
    </row>
    <row r="4">
      <c r="A4" s="5" t="inlineStr">
        <is>
          <t>Propulsion Systems</t>
        </is>
      </c>
      <c r="B4" s="14" t="n">
        <v>8100</v>
      </c>
      <c r="C4" s="14" t="n">
        <v>7900</v>
      </c>
      <c r="D4" s="14" t="n">
        <v>8400</v>
      </c>
      <c r="E4" s="14" t="n">
        <v>9200</v>
      </c>
      <c r="F4" s="14">
        <f>SUM(B4:E4)</f>
        <v/>
      </c>
    </row>
    <row r="5">
      <c r="A5" s="3" t="inlineStr">
        <is>
          <t>Life Support Units</t>
        </is>
      </c>
      <c r="B5" s="13" t="n">
        <v>3300</v>
      </c>
      <c r="C5" s="13" t="n">
        <v>3600</v>
      </c>
      <c r="D5" s="13" t="n">
        <v>3450</v>
      </c>
      <c r="E5" s="13" t="n">
        <v>3900</v>
      </c>
      <c r="F5" s="13">
        <f>SUM(B5:E5)</f>
        <v/>
      </c>
    </row>
    <row r="6">
      <c r="A6" s="5" t="inlineStr">
        <is>
          <t>Navigation AI</t>
        </is>
      </c>
      <c r="B6" s="14" t="n">
        <v>5600</v>
      </c>
      <c r="C6" s="14" t="n">
        <v>6200</v>
      </c>
      <c r="D6" s="14" t="n">
        <v>7100</v>
      </c>
      <c r="E6" s="14" t="n">
        <v>7800</v>
      </c>
      <c r="F6" s="14">
        <f>SUM(B6:E6)</f>
        <v/>
      </c>
    </row>
    <row r="7">
      <c r="A7" s="3" t="inlineStr">
        <is>
          <t>Satellite Arrays</t>
        </is>
      </c>
      <c r="B7" s="13" t="n">
        <v>2900</v>
      </c>
      <c r="C7" s="13" t="n">
        <v>3100</v>
      </c>
      <c r="D7" s="13" t="n">
        <v>2800</v>
      </c>
      <c r="E7" s="13" t="n">
        <v>3400</v>
      </c>
      <c r="F7" s="13">
        <f>SUM(B7:E7)</f>
        <v/>
      </c>
    </row>
    <row r="8">
      <c r="A8" s="5" t="inlineStr">
        <is>
          <t>Research Contracts</t>
        </is>
      </c>
      <c r="B8" s="14" t="n">
        <v>6700</v>
      </c>
      <c r="C8" s="14" t="n">
        <v>7200</v>
      </c>
      <c r="D8" s="14" t="n">
        <v>7500</v>
      </c>
      <c r="E8" s="14" t="n">
        <v>8100</v>
      </c>
      <c r="F8" s="14">
        <f>SUM(B8:E8)</f>
        <v/>
      </c>
    </row>
    <row r="9">
      <c r="A9" s="9" t="inlineStr">
        <is>
          <t>TOTAL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5" customWidth="1" min="4" max="4"/>
    <col width="52" customWidth="1" min="5" max="5"/>
    <col width="18" customWidth="1" min="6" max="6"/>
    <col width="14" customWidth="1" min="7" max="7"/>
  </cols>
  <sheetData>
    <row r="1" ht="30" customHeight="1">
      <c r="A1" s="1" t="inlineStr">
        <is>
          <t>Kepler Station — Mission Event Log</t>
        </is>
      </c>
    </row>
    <row r="2">
      <c r="A2" s="2" t="inlineStr">
        <is>
          <t>Event ID</t>
        </is>
      </c>
      <c r="B2" s="2" t="inlineStr">
        <is>
          <t>Date</t>
        </is>
      </c>
      <c r="C2" s="2" t="inlineStr">
        <is>
          <t>Time (UTC)</t>
        </is>
      </c>
      <c r="D2" s="2" t="inlineStr">
        <is>
          <t>Category</t>
        </is>
      </c>
      <c r="E2" s="2" t="inlineStr">
        <is>
          <t>Description</t>
        </is>
      </c>
      <c r="F2" s="2" t="inlineStr">
        <is>
          <t>Crew Involved</t>
        </is>
      </c>
      <c r="G2" s="2" t="inlineStr">
        <is>
          <t>Status</t>
        </is>
      </c>
    </row>
    <row r="3" ht="28" customHeight="1">
      <c r="A3" s="3" t="inlineStr">
        <is>
          <t>EVT-001</t>
        </is>
      </c>
      <c r="B3" s="3" t="inlineStr">
        <is>
          <t>2018-06-12</t>
        </is>
      </c>
      <c r="C3" s="3" t="inlineStr">
        <is>
          <t>09:00</t>
        </is>
      </c>
      <c r="D3" s="3" t="inlineStr">
        <is>
          <t>Launch</t>
        </is>
      </c>
      <c r="E3" s="16" t="inlineStr">
        <is>
          <t>Kepler Station successfully launched from Cape Canaveral</t>
        </is>
      </c>
      <c r="F3" s="3" t="inlineStr">
        <is>
          <t>All crew</t>
        </is>
      </c>
      <c r="G3" s="17" t="inlineStr">
        <is>
          <t>Completed</t>
        </is>
      </c>
    </row>
    <row r="4" ht="28" customHeight="1">
      <c r="A4" s="5" t="inlineStr">
        <is>
          <t>EVT-002</t>
        </is>
      </c>
      <c r="B4" s="5" t="inlineStr">
        <is>
          <t>2019-03-04</t>
        </is>
      </c>
      <c r="C4" s="5" t="inlineStr">
        <is>
          <t>14:22</t>
        </is>
      </c>
      <c r="D4" s="5" t="inlineStr">
        <is>
          <t>Maintenance</t>
        </is>
      </c>
      <c r="E4" s="18" t="inlineStr">
        <is>
          <t>Routine thermal shield inspection — minor wear detected on panel KS-7B</t>
        </is>
      </c>
      <c r="F4" s="5" t="inlineStr">
        <is>
          <t>Reyes, Webb</t>
        </is>
      </c>
      <c r="G4" s="19" t="inlineStr">
        <is>
          <t>Completed</t>
        </is>
      </c>
    </row>
    <row r="5" ht="28" customHeight="1">
      <c r="A5" s="3" t="inlineStr">
        <is>
          <t>EVT-003</t>
        </is>
      </c>
      <c r="B5" s="3" t="inlineStr">
        <is>
          <t>2020-08-17</t>
        </is>
      </c>
      <c r="C5" s="3" t="inlineStr">
        <is>
          <t>03:41</t>
        </is>
      </c>
      <c r="D5" s="3" t="inlineStr">
        <is>
          <t>Science</t>
        </is>
      </c>
      <c r="E5" s="16" t="inlineStr">
        <is>
          <t>First anomalous radio burst detected from sector 7G — logged for analysis</t>
        </is>
      </c>
      <c r="F5" s="3" t="inlineStr">
        <is>
          <t>Tanaka, Zhao</t>
        </is>
      </c>
      <c r="G5" s="20" t="inlineStr">
        <is>
          <t>Logged</t>
        </is>
      </c>
    </row>
    <row r="6" ht="28" customHeight="1">
      <c r="A6" s="5" t="inlineStr">
        <is>
          <t>EVT-004</t>
        </is>
      </c>
      <c r="B6" s="5" t="inlineStr">
        <is>
          <t>2021-01-09</t>
        </is>
      </c>
      <c r="C6" s="5" t="inlineStr">
        <is>
          <t>18:05</t>
        </is>
      </c>
      <c r="D6" s="5" t="inlineStr">
        <is>
          <t>Emergency</t>
        </is>
      </c>
      <c r="E6" s="18" t="inlineStr">
        <is>
          <t>Life support cascade failure initiated — crew evacuation ordered</t>
        </is>
      </c>
      <c r="F6" s="5" t="inlineStr">
        <is>
          <t>All crew</t>
        </is>
      </c>
      <c r="G6" s="21" t="inlineStr">
        <is>
          <t>Critical</t>
        </is>
      </c>
    </row>
    <row r="7" ht="28" customHeight="1">
      <c r="A7" s="3" t="inlineStr">
        <is>
          <t>EVT-005</t>
        </is>
      </c>
      <c r="B7" s="3" t="inlineStr">
        <is>
          <t>2021-01-09</t>
        </is>
      </c>
      <c r="C7" s="3" t="inlineStr">
        <is>
          <t>21:17</t>
        </is>
      </c>
      <c r="D7" s="3" t="inlineStr">
        <is>
          <t>Emergency</t>
        </is>
      </c>
      <c r="E7" s="16" t="inlineStr">
        <is>
          <t>Station officially declared lost — 11 crew unaccounted for</t>
        </is>
      </c>
      <c r="F7" s="3" t="inlineStr">
        <is>
          <t>ESA Command</t>
        </is>
      </c>
      <c r="G7" s="22" t="inlineStr">
        <is>
          <t>Closed</t>
        </is>
      </c>
    </row>
    <row r="8" ht="28" customHeight="1">
      <c r="A8" s="5" t="inlineStr">
        <is>
          <t>EVT-006</t>
        </is>
      </c>
      <c r="B8" s="5" t="inlineStr">
        <is>
          <t>2024-02-27</t>
        </is>
      </c>
      <c r="C8" s="5" t="inlineStr">
        <is>
          <t>03:17</t>
        </is>
      </c>
      <c r="D8" s="5" t="inlineStr">
        <is>
          <t>Signal</t>
        </is>
      </c>
      <c r="E8" s="18" t="inlineStr">
        <is>
          <t>Anomalous signal received at ESA Ground Control — source: KS-7</t>
        </is>
      </c>
      <c r="F8" s="5" t="inlineStr">
        <is>
          <t>Tanaka</t>
        </is>
      </c>
      <c r="G8" s="23" t="inlineStr">
        <is>
          <t>Under Review</t>
        </is>
      </c>
    </row>
    <row r="9" ht="28" customHeight="1">
      <c r="A9" s="3" t="inlineStr">
        <is>
          <t>EVT-007</t>
        </is>
      </c>
      <c r="B9" s="3" t="inlineStr">
        <is>
          <t>2024-02-28</t>
        </is>
      </c>
      <c r="C9" s="3" t="inlineStr">
        <is>
          <t>11:45</t>
        </is>
      </c>
      <c r="D9" s="3" t="inlineStr">
        <is>
          <t>Analysis</t>
        </is>
      </c>
      <c r="E9" s="16" t="inlineStr">
        <is>
          <t>Signal decoded by Dr. Fen Zhao — coordinates and DNA marker extracted</t>
        </is>
      </c>
      <c r="F9" s="3" t="inlineStr">
        <is>
          <t>Zhao</t>
        </is>
      </c>
      <c r="G9" s="17" t="inlineStr">
        <is>
          <t>Completed</t>
        </is>
      </c>
    </row>
    <row r="10" ht="28" customHeight="1">
      <c r="A10" s="5" t="inlineStr">
        <is>
          <t>EVT-008</t>
        </is>
      </c>
      <c r="B10" s="5" t="inlineStr">
        <is>
          <t>2024-03-01</t>
        </is>
      </c>
      <c r="C10" s="5" t="inlineStr">
        <is>
          <t>14:52</t>
        </is>
      </c>
      <c r="D10" s="5" t="inlineStr">
        <is>
          <t>AI Contact</t>
        </is>
      </c>
      <c r="E10" s="18" t="inlineStr">
        <is>
          <t>ARIA backup node responds after 6 years of hibernation</t>
        </is>
      </c>
      <c r="F10" s="5" t="inlineStr">
        <is>
          <t>Tanaka, ESA IT</t>
        </is>
      </c>
      <c r="G10" s="19" t="inlineStr">
        <is>
          <t>Active</t>
        </is>
      </c>
    </row>
    <row r="11" ht="28" customHeight="1">
      <c r="A11" s="3" t="inlineStr">
        <is>
          <t>EVT-009</t>
        </is>
      </c>
      <c r="B11" s="3" t="inlineStr">
        <is>
          <t>2024-03-03</t>
        </is>
      </c>
      <c r="C11" s="3" t="inlineStr">
        <is>
          <t>08:00</t>
        </is>
      </c>
      <c r="D11" s="3" t="inlineStr">
        <is>
          <t>Mission Auth</t>
        </is>
      </c>
      <c r="E11" s="16" t="inlineStr">
        <is>
          <t>Rescue/contact mission formally authorised by ESA Director</t>
        </is>
      </c>
      <c r="F11" s="3" t="inlineStr">
        <is>
          <t>ESA Board</t>
        </is>
      </c>
      <c r="G11" s="24" t="inlineStr">
        <is>
          <t>Authorised</t>
        </is>
      </c>
    </row>
    <row r="12" ht="28" customHeight="1">
      <c r="A12" s="5" t="inlineStr">
        <is>
          <t>EVT-010</t>
        </is>
      </c>
      <c r="B12" s="5" t="inlineStr">
        <is>
          <t>2024-03-10</t>
        </is>
      </c>
      <c r="C12" s="5" t="inlineStr">
        <is>
          <t>06:30</t>
        </is>
      </c>
      <c r="D12" s="5" t="inlineStr">
        <is>
          <t>Departure</t>
        </is>
      </c>
      <c r="E12" s="18" t="inlineStr">
        <is>
          <t>Mission vessel Hermes departs Earth orbit toward Kepler coordinates</t>
        </is>
      </c>
      <c r="F12" s="5" t="inlineStr">
        <is>
          <t>Tanaka, Zhao</t>
        </is>
      </c>
      <c r="G12" s="25" t="inlineStr">
        <is>
          <t>In Progress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4" customWidth="1" min="3" max="3"/>
    <col width="18" customWidth="1" min="4" max="4"/>
    <col width="14" customWidth="1" min="5" max="5"/>
  </cols>
  <sheetData>
    <row r="2" ht="36" customHeight="1">
      <c r="B2" s="26" t="inlineStr">
        <is>
          <t>Kepler Aerospace — Executive Summary Dashboard</t>
        </is>
      </c>
    </row>
    <row r="4">
      <c r="B4" s="27" t="inlineStr">
        <is>
          <t>Key Performance Indicators</t>
        </is>
      </c>
    </row>
    <row r="5" ht="26" customHeight="1">
      <c r="B5" s="28" t="inlineStr">
        <is>
          <t>Total Employees</t>
        </is>
      </c>
      <c r="D5" s="29">
        <f>'Employee Directory'!H13</f>
        <v/>
      </c>
      <c r="E5" s="30" t="inlineStr">
        <is>
          <t>people</t>
        </is>
      </c>
    </row>
    <row r="6" ht="26" customHeight="1">
      <c r="B6" s="28" t="inlineStr">
        <is>
          <t>Total Payroll (2024)</t>
        </is>
      </c>
      <c r="D6" s="31">
        <f>'Employee Directory'!G13</f>
        <v/>
      </c>
      <c r="E6" s="30" t="inlineStr">
        <is>
          <t>$</t>
        </is>
      </c>
    </row>
    <row r="7" ht="26" customHeight="1">
      <c r="B7" s="28" t="inlineStr">
        <is>
          <t>FY 2023 Revenue</t>
        </is>
      </c>
      <c r="D7" s="32">
        <f>'Quarterly Sales'!F9</f>
        <v/>
      </c>
      <c r="E7" s="30" t="inlineStr">
        <is>
          <t>$k</t>
        </is>
      </c>
    </row>
    <row r="8" ht="26" customHeight="1">
      <c r="B8" s="28" t="inlineStr">
        <is>
          <t>Active Missions</t>
        </is>
      </c>
      <c r="D8" s="29" t="n">
        <v>1</v>
      </c>
      <c r="E8" s="30" t="inlineStr">
        <is>
          <t>ongoing</t>
        </is>
      </c>
    </row>
    <row r="9" ht="26" customHeight="1">
      <c r="B9" s="28" t="inlineStr">
        <is>
          <t>Mission Events Logged</t>
        </is>
      </c>
      <c r="D9" s="29">
        <f>COUNTA('Mission Log'!A3:A12)</f>
        <v/>
      </c>
      <c r="E9" s="30" t="inlineStr">
        <is>
          <t>events</t>
        </is>
      </c>
    </row>
    <row r="10" ht="26" customHeight="1">
      <c r="B10" s="28" t="inlineStr">
        <is>
          <t>Departments</t>
        </is>
      </c>
      <c r="D10" s="29" t="n">
        <v>5</v>
      </c>
      <c r="E10" s="30" t="inlineStr">
        <is>
          <t>divisions</t>
        </is>
      </c>
    </row>
    <row r="13">
      <c r="B13" s="33" t="inlineStr">
        <is>
          <t>Notes</t>
        </is>
      </c>
    </row>
    <row r="14">
      <c r="B14" s="34" t="inlineStr">
        <is>
          <t>• All salary figures are in USD. Payroll total excludes contractor fees.</t>
        </is>
      </c>
    </row>
    <row r="15">
      <c r="B15" s="34" t="inlineStr">
        <is>
          <t>• Revenue figures are reported in thousands (USD). Source: Finance Dept, Q4 2023 close.</t>
        </is>
      </c>
    </row>
    <row r="16">
      <c r="B16" s="34" t="inlineStr">
        <is>
          <t>• Mission log data is maintained by ESA Ground Control and updated weekly.</t>
        </is>
      </c>
    </row>
    <row r="17">
      <c r="B17" s="34" t="inlineStr">
        <is>
          <t>• ARIA system status is classified ACTIVE as of 2024-03-01.</t>
        </is>
      </c>
    </row>
  </sheetData>
  <mergeCells count="5">
    <mergeCell ref="B2:G2"/>
    <mergeCell ref="B16:G16"/>
    <mergeCell ref="B14:G14"/>
    <mergeCell ref="B17:G17"/>
    <mergeCell ref="B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2026-04-03T09:03:37Z</dcterms:created>
  <dcterms:modified xmlns:dcterms="http://purl.org/dc/terms/" xmlns:xsi="http://www.w3.org/2001/XMLSchema-instance" xsi:type="dcterms:W3CDTF">2026-04-03T09:03:37Z</dcterms:modified>
</cp:coreProperties>
</file>